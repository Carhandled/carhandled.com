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<sst xmlns="http://schemas.openxmlformats.org/spreadsheetml/2006/main" count="26" uniqueCount="22">
  <si>
    <t>CarHandled - Deal Comparison Sheet</t>
  </si>
  <si>
    <t>Use this sheet to compare offers side-by-side. Total Lease/Loan Cost = Total Due at Signing + (Monthly × Term). Adjust cells as needed.</t>
  </si>
  <si>
    <t>Vehicle</t>
  </si>
  <si>
    <t>Term (mo)</t>
  </si>
  <si>
    <t>Down Payment</t>
  </si>
  <si>
    <t>Monthly Payment</t>
  </si>
  <si>
    <t>MF / APR</t>
  </si>
  <si>
    <t>Residual Value/MSRP</t>
  </si>
  <si>
    <t>Fees (Acq/Doc/etc.)</t>
  </si>
  <si>
    <t>Total Due at Signing</t>
  </si>
  <si>
    <t>Total Lease/Loan Cost</t>
  </si>
  <si>
    <t>Effective Monthly</t>
  </si>
  <si>
    <t>Dealer / Source</t>
  </si>
  <si>
    <t>Notes for Self</t>
  </si>
  <si>
    <t>[Input]</t>
  </si>
  <si>
    <t>[Dealer Name]</t>
  </si>
  <si>
    <t>[Color, Trim, Options]</t>
  </si>
  <si>
    <t>[Incentive incl., demo car]</t>
  </si>
  <si>
    <t>[Includes winter tires]</t>
  </si>
  <si>
    <t>Note:</t>
  </si>
  <si>
    <t>Cells in columns F through J (Residual Value, Fees, Totals, Effective Monthly) are formula-protected for your convenience.</t>
  </si>
  <si>
    <t>Only update columns A–E and K–L with your specific deal details — the sheet will handle the math.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</si>
</sst>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0">
    <font>
      <sz val="11.0"/>
      <color theme="1"/>
      <name val="Calibri"/>
      <scheme val="minor"/>
    </font>
    <font>
      <b/>
      <sz val="22.0"/>
      <color rgb="FFC6A972"/>
      <name val="Montserrat"/>
    </font>
    <font/>
    <font>
      <i/>
      <sz val="16.0"/>
      <color rgb="FF434343"/>
      <name val="Montserrat"/>
    </font>
    <font>
      <b/>
      <sz val="14.0"/>
      <color rgb="FF434343"/>
      <name val="Montserrat"/>
    </font>
    <font>
      <sz val="14.0"/>
      <color rgb="FF000000"/>
      <name val="Montserrat"/>
    </font>
    <font>
      <i/>
      <sz val="14.0"/>
      <color theme="1"/>
      <name val="Montserrat"/>
    </font>
    <font>
      <sz val="14.0"/>
      <color theme="1"/>
      <name val="Montserrat"/>
    </font>
    <font>
      <b/>
      <i/>
      <u/>
      <sz val="14.0"/>
      <color theme="0"/>
      <name val="Montserrat"/>
    </font>
    <font>
      <i/>
      <sz val="14.0"/>
      <color theme="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6A972"/>
        <bgColor rgb="FFC6A972"/>
      </patternFill>
    </fill>
  </fills>
  <borders count="1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readingOrder="0" shrinkToFit="0" vertical="center" wrapText="1"/>
    </xf>
    <xf borderId="9" fillId="4" fontId="4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vertical="top"/>
    </xf>
    <xf borderId="8" fillId="3" fontId="5" numFmtId="0" xfId="0" applyAlignment="1" applyBorder="1" applyFont="1">
      <alignment horizontal="center" readingOrder="0" vertical="top"/>
    </xf>
    <xf borderId="8" fillId="3" fontId="5" numFmtId="164" xfId="0" applyAlignment="1" applyBorder="1" applyFont="1" applyNumberFormat="1">
      <alignment horizontal="center" readingOrder="0" vertical="top"/>
    </xf>
    <xf borderId="8" fillId="3" fontId="5" numFmtId="164" xfId="0" applyAlignment="1" applyBorder="1" applyFont="1" applyNumberFormat="1">
      <alignment horizontal="center" vertical="top"/>
    </xf>
    <xf borderId="9" fillId="3" fontId="5" numFmtId="0" xfId="0" applyAlignment="1" applyBorder="1" applyFont="1">
      <alignment readingOrder="0"/>
    </xf>
    <xf borderId="7" fillId="3" fontId="5" numFmtId="0" xfId="0" applyBorder="1" applyFont="1"/>
    <xf borderId="8" fillId="3" fontId="5" numFmtId="0" xfId="0" applyBorder="1" applyFont="1"/>
    <xf borderId="9" fillId="3" fontId="5" numFmtId="0" xfId="0" applyBorder="1" applyFont="1"/>
    <xf borderId="7" fillId="3" fontId="6" numFmtId="0" xfId="0" applyAlignment="1" applyBorder="1" applyFont="1">
      <alignment readingOrder="0"/>
    </xf>
    <xf borderId="8" fillId="3" fontId="6" numFmtId="0" xfId="0" applyBorder="1" applyFont="1"/>
    <xf borderId="8" fillId="3" fontId="7" numFmtId="0" xfId="0" applyBorder="1" applyFont="1"/>
    <xf borderId="9" fillId="3" fontId="7" numFmtId="0" xfId="0" applyBorder="1" applyFont="1"/>
    <xf borderId="4" fillId="3" fontId="8" numFmtId="0" xfId="0" applyAlignment="1" applyBorder="1" applyFont="1">
      <alignment readingOrder="0"/>
    </xf>
    <xf borderId="4" fillId="3" fontId="9" numFmtId="0" xfId="0" applyAlignment="1" applyBorder="1" applyFont="1">
      <alignment readingOrder="0"/>
    </xf>
    <xf borderId="10" fillId="3" fontId="9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1562100</xdr:colOff>
      <xdr:row>0</xdr:row>
      <xdr:rowOff>19050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1562100</xdr:colOff>
      <xdr:row>2</xdr:row>
      <xdr:rowOff>19050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F0F0F"/>
      </a:lt1>
      <a:dk2>
        <a:srgbClr val="000000"/>
      </a:dk2>
      <a:lt2>
        <a:srgbClr val="0F0F0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19.0"/>
    <col customWidth="1" min="2" max="2" width="16.71"/>
    <col customWidth="1" min="3" max="4" width="17.43"/>
    <col customWidth="1" min="5" max="5" width="12.0"/>
    <col customWidth="1" min="6" max="6" width="26.71"/>
    <col customWidth="1" min="7" max="7" width="24.43"/>
    <col customWidth="1" min="8" max="8" width="27.0"/>
    <col customWidth="1" min="9" max="9" width="27.14"/>
    <col customWidth="1" min="10" max="10" width="22.29"/>
    <col customWidth="1" min="11" max="11" width="23.29"/>
    <col customWidth="1" min="12" max="12" width="35.71"/>
    <col customWidth="1" min="13" max="24" width="8.71"/>
  </cols>
  <sheetData>
    <row r="1" ht="5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45.75" customHeight="1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10" t="s">
        <v>13</v>
      </c>
    </row>
    <row r="4">
      <c r="A4" s="11" t="s">
        <v>14</v>
      </c>
      <c r="B4" s="12">
        <v>36.0</v>
      </c>
      <c r="C4" s="13">
        <v>2000.0</v>
      </c>
      <c r="D4" s="13">
        <v>650.0</v>
      </c>
      <c r="E4" s="12">
        <v>0.00199</v>
      </c>
      <c r="F4" s="13">
        <v>29000.0</v>
      </c>
      <c r="G4" s="13">
        <v>1095.0</v>
      </c>
      <c r="H4" s="14">
        <f t="shared" ref="H4:H5" si="1">SUM(C4,G4)</f>
        <v>3095</v>
      </c>
      <c r="I4" s="14">
        <f t="shared" ref="I4:I15" si="2">H4 + (D4 * B4)</f>
        <v>26495</v>
      </c>
      <c r="J4" s="14">
        <f t="shared" ref="J4:J15" si="3">ROUND(I4 / B4, 2)</f>
        <v>735.97</v>
      </c>
      <c r="K4" s="12" t="s">
        <v>15</v>
      </c>
      <c r="L4" s="15" t="s">
        <v>16</v>
      </c>
    </row>
    <row r="5">
      <c r="A5" s="11" t="s">
        <v>14</v>
      </c>
      <c r="B5" s="12">
        <v>36.0</v>
      </c>
      <c r="C5" s="13">
        <v>3500.0</v>
      </c>
      <c r="D5" s="13">
        <v>580.0</v>
      </c>
      <c r="E5" s="12">
        <v>0.00225</v>
      </c>
      <c r="F5" s="13">
        <v>31500.0</v>
      </c>
      <c r="G5" s="13">
        <v>895.0</v>
      </c>
      <c r="H5" s="14">
        <f t="shared" si="1"/>
        <v>4395</v>
      </c>
      <c r="I5" s="14">
        <f t="shared" si="2"/>
        <v>25275</v>
      </c>
      <c r="J5" s="14">
        <f t="shared" si="3"/>
        <v>702.08</v>
      </c>
      <c r="K5" s="12" t="s">
        <v>15</v>
      </c>
      <c r="L5" s="15" t="s">
        <v>17</v>
      </c>
    </row>
    <row r="6">
      <c r="A6" s="11" t="s">
        <v>14</v>
      </c>
      <c r="B6" s="12">
        <v>60.0</v>
      </c>
      <c r="C6" s="13">
        <v>0.0</v>
      </c>
      <c r="D6" s="13">
        <v>912.0</v>
      </c>
      <c r="E6" s="12">
        <v>8.0</v>
      </c>
      <c r="F6" s="13">
        <v>45000.0</v>
      </c>
      <c r="G6" s="13">
        <v>1195.0</v>
      </c>
      <c r="H6" s="12">
        <v>0.0</v>
      </c>
      <c r="I6" s="14">
        <f t="shared" si="2"/>
        <v>54720</v>
      </c>
      <c r="J6" s="14">
        <f t="shared" si="3"/>
        <v>912</v>
      </c>
      <c r="K6" s="12" t="s">
        <v>15</v>
      </c>
      <c r="L6" s="15" t="s">
        <v>18</v>
      </c>
    </row>
    <row r="7">
      <c r="A7" s="16"/>
      <c r="B7" s="17"/>
      <c r="C7" s="17"/>
      <c r="D7" s="17"/>
      <c r="E7" s="17"/>
      <c r="F7" s="17"/>
      <c r="G7" s="17"/>
      <c r="H7" s="17">
        <f t="shared" ref="H7:H15" si="4">SUM(C7,G7)</f>
        <v>0</v>
      </c>
      <c r="I7" s="17">
        <f t="shared" si="2"/>
        <v>0</v>
      </c>
      <c r="J7" s="17" t="str">
        <f t="shared" si="3"/>
        <v>#DIV/0!</v>
      </c>
      <c r="K7" s="17"/>
      <c r="L7" s="18"/>
    </row>
    <row r="8">
      <c r="A8" s="16"/>
      <c r="B8" s="17"/>
      <c r="C8" s="17"/>
      <c r="D8" s="17"/>
      <c r="E8" s="17"/>
      <c r="F8" s="17"/>
      <c r="G8" s="17"/>
      <c r="H8" s="17">
        <f t="shared" si="4"/>
        <v>0</v>
      </c>
      <c r="I8" s="17">
        <f t="shared" si="2"/>
        <v>0</v>
      </c>
      <c r="J8" s="17" t="str">
        <f t="shared" si="3"/>
        <v>#DIV/0!</v>
      </c>
      <c r="K8" s="17"/>
      <c r="L8" s="18"/>
    </row>
    <row r="9">
      <c r="A9" s="16"/>
      <c r="B9" s="17"/>
      <c r="C9" s="17"/>
      <c r="D9" s="17"/>
      <c r="E9" s="17"/>
      <c r="F9" s="17"/>
      <c r="G9" s="17"/>
      <c r="H9" s="17">
        <f t="shared" si="4"/>
        <v>0</v>
      </c>
      <c r="I9" s="17">
        <f t="shared" si="2"/>
        <v>0</v>
      </c>
      <c r="J9" s="17" t="str">
        <f t="shared" si="3"/>
        <v>#DIV/0!</v>
      </c>
      <c r="K9" s="17"/>
      <c r="L9" s="18"/>
    </row>
    <row r="10">
      <c r="A10" s="16"/>
      <c r="B10" s="17"/>
      <c r="C10" s="17"/>
      <c r="D10" s="17"/>
      <c r="E10" s="17"/>
      <c r="F10" s="17"/>
      <c r="G10" s="17"/>
      <c r="H10" s="17">
        <f t="shared" si="4"/>
        <v>0</v>
      </c>
      <c r="I10" s="17">
        <f t="shared" si="2"/>
        <v>0</v>
      </c>
      <c r="J10" s="17" t="str">
        <f t="shared" si="3"/>
        <v>#DIV/0!</v>
      </c>
      <c r="K10" s="17"/>
      <c r="L10" s="18"/>
    </row>
    <row r="11">
      <c r="A11" s="16"/>
      <c r="B11" s="17"/>
      <c r="C11" s="17"/>
      <c r="D11" s="17"/>
      <c r="E11" s="17"/>
      <c r="F11" s="17"/>
      <c r="G11" s="17"/>
      <c r="H11" s="17">
        <f t="shared" si="4"/>
        <v>0</v>
      </c>
      <c r="I11" s="17">
        <f t="shared" si="2"/>
        <v>0</v>
      </c>
      <c r="J11" s="17" t="str">
        <f t="shared" si="3"/>
        <v>#DIV/0!</v>
      </c>
      <c r="K11" s="17"/>
      <c r="L11" s="18"/>
    </row>
    <row r="12">
      <c r="A12" s="16"/>
      <c r="B12" s="17"/>
      <c r="C12" s="17"/>
      <c r="D12" s="17"/>
      <c r="E12" s="17"/>
      <c r="F12" s="17"/>
      <c r="G12" s="17"/>
      <c r="H12" s="17">
        <f t="shared" si="4"/>
        <v>0</v>
      </c>
      <c r="I12" s="17">
        <f t="shared" si="2"/>
        <v>0</v>
      </c>
      <c r="J12" s="17" t="str">
        <f t="shared" si="3"/>
        <v>#DIV/0!</v>
      </c>
      <c r="K12" s="17"/>
      <c r="L12" s="18"/>
    </row>
    <row r="13">
      <c r="A13" s="16"/>
      <c r="B13" s="17"/>
      <c r="C13" s="17"/>
      <c r="D13" s="17"/>
      <c r="E13" s="17"/>
      <c r="F13" s="17"/>
      <c r="G13" s="17"/>
      <c r="H13" s="17">
        <f t="shared" si="4"/>
        <v>0</v>
      </c>
      <c r="I13" s="17">
        <f t="shared" si="2"/>
        <v>0</v>
      </c>
      <c r="J13" s="17" t="str">
        <f t="shared" si="3"/>
        <v>#DIV/0!</v>
      </c>
      <c r="K13" s="17"/>
      <c r="L13" s="18"/>
    </row>
    <row r="14">
      <c r="A14" s="16"/>
      <c r="B14" s="17"/>
      <c r="C14" s="17"/>
      <c r="D14" s="17"/>
      <c r="E14" s="17"/>
      <c r="F14" s="17"/>
      <c r="G14" s="17"/>
      <c r="H14" s="17">
        <f t="shared" si="4"/>
        <v>0</v>
      </c>
      <c r="I14" s="17">
        <f t="shared" si="2"/>
        <v>0</v>
      </c>
      <c r="J14" s="17" t="str">
        <f t="shared" si="3"/>
        <v>#DIV/0!</v>
      </c>
      <c r="K14" s="17"/>
      <c r="L14" s="18"/>
    </row>
    <row r="15">
      <c r="A15" s="16"/>
      <c r="B15" s="17"/>
      <c r="C15" s="17"/>
      <c r="D15" s="17"/>
      <c r="E15" s="17"/>
      <c r="F15" s="17"/>
      <c r="G15" s="17"/>
      <c r="H15" s="17">
        <f t="shared" si="4"/>
        <v>0</v>
      </c>
      <c r="I15" s="17">
        <f t="shared" si="2"/>
        <v>0</v>
      </c>
      <c r="J15" s="17" t="str">
        <f t="shared" si="3"/>
        <v>#DIV/0!</v>
      </c>
      <c r="K15" s="17"/>
      <c r="L15" s="18"/>
    </row>
    <row r="16">
      <c r="A16" s="19"/>
      <c r="B16" s="20"/>
      <c r="C16" s="20"/>
      <c r="D16" s="20"/>
      <c r="E16" s="20"/>
      <c r="F16" s="20"/>
      <c r="G16" s="20"/>
      <c r="H16" s="21"/>
      <c r="I16" s="21"/>
      <c r="J16" s="21"/>
      <c r="K16" s="21"/>
      <c r="L16" s="22"/>
    </row>
    <row r="17">
      <c r="A17" s="23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>
      <c r="A18" s="24" t="s">
        <v>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</row>
    <row r="19">
      <c r="A19" s="25" t="s">
        <v>21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A1:L1"/>
    <mergeCell ref="A2:L2"/>
    <mergeCell ref="A17:L17"/>
    <mergeCell ref="A18:L18"/>
    <mergeCell ref="A19:L19"/>
  </mergeCells>
  <printOptions/>
  <pageMargins bottom="0.75" footer="0.0" header="0.0" left="0.7" right="0.7" top="0.75"/>
  <pageSetup orientation="landscape"/>
  <drawing r:id="rId1"/>
</worksheet>
</file>