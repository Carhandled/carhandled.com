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se vs Bu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<sst xmlns="http://schemas.openxmlformats.org/spreadsheetml/2006/main" count="40" uniqueCount="40">
  <si>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CARHANDLED  ·  LEASE vs BUY COMPARISON</t>
  </si>
  <si>
    <t xml:space="preserve">See the true total cost of leasing vs buying — same vehicle, side by side.</t>
  </si>
  <si>
    <t xml:space="preserve">HOW TO USE  →  Fill in the gold cells in both Lease and Buy columns. The Total Cost row at the bottom shows you which option costs less over the term.</t>
  </si>
  <si>
    <t xml:space="preserve">Category</t>
  </si>
  <si>
    <t xml:space="preserve">LEASE</t>
  </si>
  <si>
    <t xml:space="preserve">vs</t>
  </si>
  <si>
    <t xml:space="preserve">BUY</t>
  </si>
  <si>
    <t xml:space="preserve">Notes</t>
  </si>
  <si>
    <t xml:space="preserve">End-of-Term Ownership</t>
  </si>
  <si>
    <t xml:space="preserve">No</t>
  </si>
  <si>
    <t xml:space="preserve">Yes</t>
  </si>
  <si>
    <t xml:space="preserve">Lease: return car. Buy: keep it.</t>
  </si>
  <si>
    <t xml:space="preserve">Flexibility to Sell</t>
  </si>
  <si>
    <t xml:space="preserve">Limited</t>
  </si>
  <si>
    <t xml:space="preserve">Full</t>
  </si>
  <si>
    <t xml:space="preserve">Buyers can sell anytime.</t>
  </si>
  <si>
    <t xml:space="preserve">Mileage Limits</t>
  </si>
  <si>
    <t xml:space="preserve">10–15k/yr</t>
  </si>
  <si>
    <t xml:space="preserve">None</t>
  </si>
  <si>
    <t xml:space="preserve">Lease overage fees: $0.15–$0.30/mi.</t>
  </si>
  <si>
    <t xml:space="preserve">ENTER YOUR NUMBERS  ·  REQUIRED INPUTS</t>
  </si>
  <si>
    <t xml:space="preserve">Monthly Payment ($)</t>
  </si>
  <si>
    <t xml:space="preserve">Pre-tax expected monthly cost</t>
  </si>
  <si>
    <t xml:space="preserve">Down Payment / Drive-off ($)</t>
  </si>
  <si>
    <t xml:space="preserve">Cash at signing (before fees)</t>
  </si>
  <si>
    <t xml:space="preserve">Term (Months)</t>
  </si>
  <si>
    <t xml:space="preserve">Lease: 24–39  ·  Buy: 60–72</t>
  </si>
  <si>
    <t xml:space="preserve">Upfront Fees (Taxes, Doc) ($)</t>
  </si>
  <si>
    <t xml:space="preserve">Gov + dealer fees beyond down</t>
  </si>
  <si>
    <t xml:space="preserve">Maintenance Estimate ($)</t>
  </si>
  <si>
    <t xml:space="preserve">Total over the term</t>
  </si>
  <si>
    <t xml:space="preserve">Lease-End Fees ($)</t>
  </si>
  <si>
    <t xml:space="preserve">Wear-and-tear + turn-in (lease only)</t>
  </si>
  <si>
    <t xml:space="preserve">Rebates / Incentives ($)</t>
  </si>
  <si>
    <t xml:space="preserve">Subtracted from total cost</t>
  </si>
  <si>
    <t xml:space="preserve">TOTAL COST OVER TERM</t>
  </si>
  <si>
    <t xml:space="preserve">DIFFERENCE</t>
  </si>
  <si>
    <t xml:space="preserve">Total cost gap between options</t>
  </si>
  <si>
    <t xml:space="preserve">⚠  Disclaimer: This compares total out-of-pocket cost only. Doesn't account for vehicle resale value at end of buy term, or lease-vs-buy tax treatment in some states. Confirm specifics with a dealer or financial advisor before deciding.</t>
  </si>
  <si>
    <t xml:space="preserve">© 2025 CarHandled  ·  carhandled.com  ·  For personal use only — not for redistribution.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</si>
</sst>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6A972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1"/>
      <color rgb="FFC6A972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b val="true"/>
      <sz val="11"/>
      <color rgb="FFC6A972"/>
      <name val="Arial"/>
      <family val="0"/>
      <charset val="1"/>
    </font>
    <font>
      <b val="true"/>
      <sz val="11"/>
      <color rgb="FF000080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4"/>
      <color rgb="FF8A7248"/>
      <name val="Arial"/>
      <family val="0"/>
      <charset val="1"/>
    </font>
    <font>
      <b val="true"/>
      <i val="true"/>
      <sz val="11"/>
      <color rgb="FF8A7248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8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0D0D"/>
        <bgColor rgb="FF111111"/>
      </patternFill>
    </fill>
    <fill>
      <patternFill patternType="solid">
        <fgColor rgb="FFF2F2F2"/>
        <bgColor rgb="FFFFF8E1"/>
      </patternFill>
    </fill>
    <fill>
      <patternFill patternType="solid">
        <fgColor rgb="FFFFFFFF"/>
        <bgColor rgb="FFFFF8E1"/>
      </patternFill>
    </fill>
    <fill>
      <patternFill patternType="solid">
        <fgColor rgb="FFF0E5C8"/>
        <bgColor rgb="FFF2F2F2"/>
      </patternFill>
    </fill>
    <fill>
      <patternFill patternType="solid">
        <fgColor rgb="FFFFF8E1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6A972"/>
      </bottom>
      <diagonal/>
    </border>
    <border diagonalUp="false" diagonalDown="false">
      <left style="thin">
        <color rgb="FFC6A972"/>
      </left>
      <right style="thin">
        <color rgb="FFC6A972"/>
      </right>
      <top style="thin">
        <color rgb="FFC6A972"/>
      </top>
      <bottom style="thin">
        <color rgb="FFC6A972"/>
      </bottom>
      <diagonal/>
    </border>
    <border diagonalUp="false" diagonalDown="false">
      <left style="thin">
        <color rgb="FFC6A972"/>
      </left>
      <right/>
      <top style="thin">
        <color rgb="FFC6A972"/>
      </top>
      <bottom style="thin">
        <color rgb="FFC6A97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A7248"/>
      <rgbColor rgb="FF9999FF"/>
      <rgbColor rgb="FF993366"/>
      <rgbColor rgb="FFFFF8E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0E5C8"/>
      <rgbColor rgb="FF3366FF"/>
      <rgbColor rgb="FF33CCCC"/>
      <rgbColor rgb="FF99CC00"/>
      <rgbColor rgb="FFFFCC00"/>
      <rgbColor rgb="FFFF9900"/>
      <rgbColor rgb="FFFF6600"/>
      <rgbColor rgb="FF666666"/>
      <rgbColor rgb="FFC6A972"/>
      <rgbColor rgb="FF003366"/>
      <rgbColor rgb="FF339966"/>
      <rgbColor rgb="FF111111"/>
      <rgbColor rgb="FF0D0D0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18"/>
    <col collapsed="false" customWidth="true" hidden="false" outlineLevel="0" max="6" min="6" style="1" width="38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27.7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6" hidden="false" customHeight="true" outlineLevel="0" collapsed="false"/>
    <row r="6" customFormat="false" ht="27.75" hidden="false" customHeight="true" outlineLevel="0" collapsed="false">
      <c r="A6" s="5" t="s">
        <v>3</v>
      </c>
      <c r="C6" s="5" t="s">
        <v>4</v>
      </c>
      <c r="D6" s="6" t="s">
        <v>5</v>
      </c>
      <c r="E6" s="5" t="s">
        <v>6</v>
      </c>
      <c r="F6" s="5" t="s">
        <v>7</v>
      </c>
    </row>
    <row r="7" customFormat="false" ht="21.75" hidden="false" customHeight="true" outlineLevel="0" collapsed="false">
      <c r="A7" s="7" t="s">
        <v>8</v>
      </c>
      <c r="C7" s="8" t="s">
        <v>9</v>
      </c>
      <c r="E7" s="8" t="s">
        <v>10</v>
      </c>
      <c r="F7" s="9" t="s">
        <v>11</v>
      </c>
    </row>
    <row r="8" customFormat="false" ht="21.75" hidden="false" customHeight="true" outlineLevel="0" collapsed="false">
      <c r="A8" s="7" t="s">
        <v>12</v>
      </c>
      <c r="C8" s="8" t="s">
        <v>13</v>
      </c>
      <c r="E8" s="8" t="s">
        <v>14</v>
      </c>
      <c r="F8" s="9" t="s">
        <v>15</v>
      </c>
    </row>
    <row r="9" customFormat="false" ht="21.75" hidden="false" customHeight="true" outlineLevel="0" collapsed="false">
      <c r="A9" s="7" t="s">
        <v>16</v>
      </c>
      <c r="C9" s="8" t="s">
        <v>17</v>
      </c>
      <c r="E9" s="8" t="s">
        <v>18</v>
      </c>
      <c r="F9" s="9" t="s">
        <v>19</v>
      </c>
    </row>
    <row r="10" customFormat="false" ht="6" hidden="false" customHeight="true" outlineLevel="0" collapsed="false"/>
    <row r="11" customFormat="false" ht="21.75" hidden="false" customHeight="true" outlineLevel="0" collapsed="false">
      <c r="A11" s="10" t="s">
        <v>20</v>
      </c>
      <c r="B11" s="10"/>
      <c r="C11" s="10"/>
      <c r="D11" s="10"/>
      <c r="E11" s="10"/>
      <c r="F11" s="10"/>
    </row>
    <row r="12" customFormat="false" ht="21.75" hidden="false" customHeight="true" outlineLevel="0" collapsed="false">
      <c r="A12" s="7" t="s">
        <v>21</v>
      </c>
      <c r="C12" s="11" t="n">
        <v>350</v>
      </c>
      <c r="E12" s="11" t="n">
        <v>400</v>
      </c>
      <c r="F12" s="9" t="s">
        <v>22</v>
      </c>
    </row>
    <row r="13" customFormat="false" ht="21.75" hidden="false" customHeight="true" outlineLevel="0" collapsed="false">
      <c r="A13" s="7" t="s">
        <v>23</v>
      </c>
      <c r="C13" s="11" t="n">
        <v>1000</v>
      </c>
      <c r="E13" s="11" t="n">
        <v>1000</v>
      </c>
      <c r="F13" s="9" t="s">
        <v>24</v>
      </c>
    </row>
    <row r="14" customFormat="false" ht="21.75" hidden="false" customHeight="true" outlineLevel="0" collapsed="false">
      <c r="A14" s="7" t="s">
        <v>25</v>
      </c>
      <c r="C14" s="12" t="n">
        <v>36</v>
      </c>
      <c r="E14" s="12" t="n">
        <v>60</v>
      </c>
      <c r="F14" s="9" t="s">
        <v>26</v>
      </c>
    </row>
    <row r="15" customFormat="false" ht="21.75" hidden="false" customHeight="true" outlineLevel="0" collapsed="false">
      <c r="A15" s="7" t="s">
        <v>27</v>
      </c>
      <c r="C15" s="11" t="n">
        <v>3000</v>
      </c>
      <c r="E15" s="11" t="n">
        <v>3000</v>
      </c>
      <c r="F15" s="9" t="s">
        <v>28</v>
      </c>
    </row>
    <row r="16" customFormat="false" ht="21.75" hidden="false" customHeight="true" outlineLevel="0" collapsed="false">
      <c r="A16" s="7" t="s">
        <v>29</v>
      </c>
      <c r="C16" s="11" t="n">
        <v>500</v>
      </c>
      <c r="E16" s="11" t="n">
        <v>2000</v>
      </c>
      <c r="F16" s="9" t="s">
        <v>30</v>
      </c>
    </row>
    <row r="17" customFormat="false" ht="21.75" hidden="false" customHeight="true" outlineLevel="0" collapsed="false">
      <c r="A17" s="7" t="s">
        <v>31</v>
      </c>
      <c r="C17" s="11" t="n">
        <v>2000</v>
      </c>
      <c r="E17" s="13"/>
      <c r="F17" s="9" t="s">
        <v>32</v>
      </c>
    </row>
    <row r="18" customFormat="false" ht="21.75" hidden="false" customHeight="true" outlineLevel="0" collapsed="false">
      <c r="A18" s="7" t="s">
        <v>33</v>
      </c>
      <c r="C18" s="11" t="n">
        <v>0</v>
      </c>
      <c r="E18" s="11" t="n">
        <v>0</v>
      </c>
      <c r="F18" s="9" t="s">
        <v>34</v>
      </c>
    </row>
    <row r="19" customFormat="false" ht="7.5" hidden="false" customHeight="true" outlineLevel="0" collapsed="false"/>
    <row r="20" customFormat="false" ht="31.5" hidden="false" customHeight="true" outlineLevel="0" collapsed="false">
      <c r="A20" s="14" t="s">
        <v>35</v>
      </c>
      <c r="C20" s="15" t="n">
        <f aca="false">ROUND(IFERROR((C12*C14) + C13 + C15 + C16 + IFERROR(IF(C17="",0,C17),0) - IFERROR(IF(C18="",0,C18),0), 0), 2)</f>
        <v>19100</v>
      </c>
      <c r="E20" s="15" t="n">
        <f aca="false">ROUND(IFERROR((E12*E14) + E13 + E15 + E16 + IFERROR(IF(E17="",0,E17),0) - IFERROR(IF(E18="",0,E18),0), 0), 2)</f>
        <v>30000</v>
      </c>
      <c r="F20" s="16" t="str">
        <f aca="false">IF(C20&lt;E20,"← Lease costs less",IF(E20&lt;C20,"Buy costs less →","Equal"))</f>
        <v>← Lease costs less</v>
      </c>
    </row>
    <row r="21" customFormat="false" ht="24" hidden="false" customHeight="true" outlineLevel="0" collapsed="false">
      <c r="A21" s="17" t="s">
        <v>36</v>
      </c>
      <c r="C21" s="18" t="n">
        <f aca="false">ABS(C20-E20)</f>
        <v>10900</v>
      </c>
      <c r="D21" s="18"/>
      <c r="E21" s="18"/>
      <c r="F21" s="19" t="s">
        <v>37</v>
      </c>
    </row>
    <row r="22" customFormat="false" ht="7.5" hidden="false" customHeight="true" outlineLevel="0" collapsed="false"/>
    <row r="23" customFormat="false" ht="36" hidden="false" customHeight="true" outlineLevel="0" collapsed="false">
      <c r="A23" s="20" t="s">
        <v>38</v>
      </c>
      <c r="B23" s="20"/>
      <c r="C23" s="20"/>
      <c r="D23" s="20"/>
      <c r="E23" s="20"/>
      <c r="F23" s="20"/>
    </row>
    <row r="24" customFormat="false" ht="18" hidden="false" customHeight="true" outlineLevel="0" collapsed="false">
      <c r="A24" s="21" t="s">
        <v>39</v>
      </c>
      <c r="B24" s="21"/>
      <c r="C24" s="21"/>
      <c r="D24" s="21"/>
      <c r="E24" s="21"/>
      <c r="F24" s="21"/>
    </row>
  </sheetData>
  <mergeCells count="7">
    <mergeCell ref="A1:F1"/>
    <mergeCell ref="A2:F2"/>
    <mergeCell ref="A4:F4"/>
    <mergeCell ref="A11:F11"/>
    <mergeCell ref="C21:E21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2026-05-09T16:51:14Z</dcterms:created>
  <dc:creator>openpyxl</dc:creator>
  <dc:description/>
  <dc:language>en-US</dc:language>
  <cp:lastModifiedBy/>
  <dcterms:modified xsi:type="dcterms:W3CDTF">2026-05-09T16:52:42Z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