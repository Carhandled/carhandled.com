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se Estimator" sheetId="1" r:id="rId4"/>
  </sheets>
  <definedNames/>
  <calcPr/>
</workbook>
</file>

<file path=xl/sharedStrings.xml><?xml version="1.0" encoding="utf-8"?>
<sst xmlns="http://schemas.openxmlformats.org/spreadsheetml/2006/main" count="26" uniqueCount="26">
  <si>
    <t>LEASE CALCULATOR</t>
  </si>
  <si>
    <t>Category</t>
  </si>
  <si>
    <t>Input # Below</t>
  </si>
  <si>
    <t>MSRP</t>
  </si>
  <si>
    <t>Selling Price</t>
  </si>
  <si>
    <t>Rebate</t>
  </si>
  <si>
    <t>Down Payment</t>
  </si>
  <si>
    <t>Acquisition &amp; Fees</t>
  </si>
  <si>
    <t>Cap Cost Reduction (DP + Rebates)</t>
  </si>
  <si>
    <t>Money Factor</t>
  </si>
  <si>
    <t>Lease Term (months)</t>
  </si>
  <si>
    <t>Residual %</t>
  </si>
  <si>
    <t>Sales Tax %</t>
  </si>
  <si>
    <t>Trade-In Value</t>
  </si>
  <si>
    <t>Remaining Loan</t>
  </si>
  <si>
    <t>Trade Equity</t>
  </si>
  <si>
    <t>Adjusted Cap Cost</t>
  </si>
  <si>
    <t>Residual Value</t>
  </si>
  <si>
    <t>Depreciation Charge</t>
  </si>
  <si>
    <t>Rent Charge</t>
  </si>
  <si>
    <t>Base Monthly Payment</t>
  </si>
  <si>
    <t>Monthly Tax</t>
  </si>
  <si>
    <t>Total Monthly Payment</t>
  </si>
  <si>
    <t>DRIVE-OFF AMOUNT</t>
  </si>
  <si>
    <r>
      <rPr>
        <rFont val="Montserrat"/>
        <color rgb="FF000000"/>
        <sz val="10.0"/>
      </rPr>
      <t xml:space="preserve">📌 Disclaimer
This calculator is for informational purposes only and does not constitute financial advice. All results are estimates — actual terms may vary based on lender programs, dealer fees, taxes, credit tiers, and eligibility. Use this tool as a guide, but always confirm figures directly with the dealership or financing provider. </t>
    </r>
    <r>
      <rPr>
        <rFont val="Montserrat"/>
        <b/>
        <i/>
        <color rgb="FF000000"/>
        <sz val="10.0"/>
      </rPr>
      <t xml:space="preserve">Accurate inputs (selling price, fees, residuals, etc.) are required </t>
    </r>
    <r>
      <rPr>
        <rFont val="Montserrat"/>
        <color rgb="FF000000"/>
        <sz val="10.0"/>
      </rPr>
      <t>to produce meaningful estimates.</t>
    </r>
  </si>
  <si>
    <t>© 2025 CarHandled. For personal client use only. Not for redistribution.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</si>
</sst>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2.0"/>
      <color rgb="FFA1884B"/>
      <name val="Montserrat"/>
    </font>
    <font/>
    <font>
      <b/>
      <sz val="18.0"/>
      <color rgb="FF434343"/>
      <name val="Montserrat"/>
    </font>
    <font>
      <sz val="14.0"/>
      <color rgb="FF434343"/>
      <name val="Montserrat"/>
    </font>
    <font>
      <b/>
      <sz val="14.0"/>
      <color rgb="FF9C8953"/>
      <name val="Montserrat"/>
    </font>
    <font>
      <b/>
      <color theme="1"/>
      <name val="Calibri"/>
      <scheme val="minor"/>
    </font>
    <font>
      <sz val="14.0"/>
      <color rgb="FF9C8953"/>
      <name val="Montserrat"/>
    </font>
    <font>
      <b/>
      <sz val="16.0"/>
      <color rgb="FF434343"/>
      <name val="Montserrat"/>
    </font>
    <font>
      <sz val="10.0"/>
      <color rgb="FF000000"/>
      <name val="Montserrat"/>
    </font>
    <font>
      <i/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6A972"/>
        <bgColor rgb="FFC6A972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3" numFmtId="0" xfId="0" applyAlignment="1" applyBorder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3" fillId="3" fontId="4" numFmtId="0" xfId="0" applyAlignment="1" applyBorder="1" applyFont="1">
      <alignment horizontal="right" readingOrder="0" vertical="center"/>
    </xf>
    <xf borderId="3" fillId="0" fontId="4" numFmtId="0" xfId="0" applyAlignment="1" applyBorder="1" applyFont="1">
      <alignment readingOrder="0" vertical="center"/>
    </xf>
    <xf borderId="3" fillId="3" fontId="4" numFmtId="4" xfId="0" applyAlignment="1" applyBorder="1" applyFont="1" applyNumberFormat="1">
      <alignment horizontal="right" readingOrder="0" vertical="center"/>
    </xf>
    <xf borderId="3" fillId="4" fontId="5" numFmtId="0" xfId="0" applyAlignment="1" applyBorder="1" applyFill="1" applyFont="1">
      <alignment vertical="center"/>
    </xf>
    <xf borderId="3" fillId="4" fontId="5" numFmtId="4" xfId="0" applyAlignment="1" applyBorder="1" applyFont="1" applyNumberFormat="1">
      <alignment horizontal="right" readingOrder="0" vertical="center"/>
    </xf>
    <xf borderId="0" fillId="0" fontId="6" numFmtId="0" xfId="0" applyFont="1"/>
    <xf borderId="3" fillId="4" fontId="7" numFmtId="0" xfId="0" applyAlignment="1" applyBorder="1" applyFont="1">
      <alignment readingOrder="0" vertical="center"/>
    </xf>
    <xf borderId="3" fillId="4" fontId="7" numFmtId="0" xfId="0" applyAlignment="1" applyBorder="1" applyFont="1">
      <alignment horizontal="right" vertical="center"/>
    </xf>
    <xf borderId="3" fillId="4" fontId="5" numFmtId="0" xfId="0" applyAlignment="1" applyBorder="1" applyFont="1">
      <alignment horizontal="right" vertical="center"/>
    </xf>
    <xf borderId="3" fillId="4" fontId="7" numFmtId="0" xfId="0" applyAlignment="1" applyBorder="1" applyFont="1">
      <alignment vertical="center"/>
    </xf>
    <xf borderId="3" fillId="5" fontId="8" numFmtId="0" xfId="0" applyAlignment="1" applyBorder="1" applyFill="1" applyFont="1">
      <alignment vertical="center"/>
    </xf>
    <xf borderId="3" fillId="5" fontId="8" numFmtId="0" xfId="0" applyAlignment="1" applyBorder="1" applyFont="1">
      <alignment horizontal="right" vertical="center"/>
    </xf>
    <xf borderId="3" fillId="5" fontId="8" numFmtId="0" xfId="0" applyAlignment="1" applyBorder="1" applyFont="1">
      <alignment readingOrder="0" vertical="center"/>
    </xf>
    <xf borderId="3" fillId="5" fontId="8" numFmtId="0" xfId="0" applyAlignment="1" applyBorder="1" applyFont="1">
      <alignment horizontal="right" vertical="center"/>
    </xf>
    <xf borderId="0" fillId="3" fontId="9" numFmtId="0" xfId="0" applyAlignment="1" applyFont="1">
      <alignment horizontal="left" readingOrder="0" shrinkToFit="0" vertical="center" wrapText="1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619125" cy="6191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51.71"/>
    <col customWidth="1" min="2" max="2" width="28.57"/>
    <col customWidth="1" min="3" max="26" width="8.71"/>
  </cols>
  <sheetData>
    <row r="1" ht="62.25" customHeight="1">
      <c r="A1" s="1" t="s">
        <v>0</v>
      </c>
      <c r="B1" s="2"/>
    </row>
    <row r="2" ht="32.25" customHeight="1">
      <c r="A2" s="3" t="s">
        <v>1</v>
      </c>
      <c r="B2" s="4" t="s">
        <v>2</v>
      </c>
    </row>
    <row r="3" ht="22.5" customHeight="1">
      <c r="A3" s="5" t="s">
        <v>3</v>
      </c>
      <c r="B3" s="6">
        <v>65000.0</v>
      </c>
    </row>
    <row r="4" ht="24.0" customHeight="1">
      <c r="A4" s="5" t="s">
        <v>4</v>
      </c>
      <c r="B4" s="6">
        <v>65000.0</v>
      </c>
    </row>
    <row r="5" ht="21.75" customHeight="1">
      <c r="A5" s="7" t="s">
        <v>5</v>
      </c>
      <c r="B5" s="6">
        <v>1000.0</v>
      </c>
    </row>
    <row r="6" ht="21.0" customHeight="1">
      <c r="A6" s="7" t="s">
        <v>6</v>
      </c>
      <c r="B6" s="8">
        <v>2500.0</v>
      </c>
    </row>
    <row r="7" ht="24.75" customHeight="1">
      <c r="A7" s="5" t="s">
        <v>7</v>
      </c>
      <c r="B7" s="6">
        <v>1733.3</v>
      </c>
    </row>
    <row r="8" ht="25.5" customHeight="1">
      <c r="A8" s="9" t="s">
        <v>8</v>
      </c>
      <c r="B8" s="10">
        <f>IFERROR(ROUNDUP(B5 + B6 + B15, 2), 0)</f>
        <v>3500</v>
      </c>
    </row>
    <row r="9" ht="21.75" customHeight="1">
      <c r="A9" s="5" t="s">
        <v>9</v>
      </c>
      <c r="B9" s="6">
        <v>0.003</v>
      </c>
    </row>
    <row r="10" ht="21.75" customHeight="1">
      <c r="A10" s="5" t="s">
        <v>10</v>
      </c>
      <c r="B10" s="6">
        <v>39.0</v>
      </c>
    </row>
    <row r="11" ht="21.75" customHeight="1">
      <c r="A11" s="5" t="s">
        <v>11</v>
      </c>
      <c r="B11" s="6">
        <v>60.0</v>
      </c>
    </row>
    <row r="12" ht="23.25" customHeight="1">
      <c r="A12" s="5" t="s">
        <v>12</v>
      </c>
      <c r="B12" s="6">
        <v>6.0</v>
      </c>
      <c r="F12" s="11"/>
    </row>
    <row r="13" ht="20.25" customHeight="1">
      <c r="A13" s="7" t="s">
        <v>13</v>
      </c>
      <c r="B13" s="6"/>
    </row>
    <row r="14" ht="24.75" customHeight="1">
      <c r="A14" s="7" t="s">
        <v>14</v>
      </c>
      <c r="B14" s="6"/>
    </row>
    <row r="15" ht="20.25" customHeight="1">
      <c r="A15" s="12" t="s">
        <v>15</v>
      </c>
      <c r="B15" s="13">
        <f>IFERROR(B13 - B14, 0)</f>
        <v>0</v>
      </c>
    </row>
    <row r="16" ht="21.75" customHeight="1">
      <c r="A16" s="9" t="s">
        <v>16</v>
      </c>
      <c r="B16" s="14">
        <f>ROUND(IFERROR(B4 + B7 - B5 - B6 - B15, 2), 2)</f>
        <v>63233.3</v>
      </c>
    </row>
    <row r="17" ht="19.5" customHeight="1">
      <c r="A17" s="15" t="s">
        <v>17</v>
      </c>
      <c r="B17" s="13">
        <f>IFERROR(ROUNDUP(B3 * (B11 / 100), 2), 0)</f>
        <v>39000</v>
      </c>
    </row>
    <row r="18" ht="22.5" customHeight="1">
      <c r="A18" s="15" t="s">
        <v>18</v>
      </c>
      <c r="B18" s="13">
        <f>IFERROR(ROUNDUP((B16 - B17)/B10, 2), 0)</f>
        <v>621.37</v>
      </c>
    </row>
    <row r="19" ht="19.5" customHeight="1">
      <c r="A19" s="15" t="s">
        <v>19</v>
      </c>
      <c r="B19" s="13">
        <f>IFERROR(ROUNDUP((B16 + B17) * B9, 2), 0)</f>
        <v>306.7</v>
      </c>
    </row>
    <row r="20" ht="20.25" customHeight="1">
      <c r="A20" s="15" t="s">
        <v>20</v>
      </c>
      <c r="B20" s="13">
        <f>IFERROR(ROUNDUP(B18 + B19, 2), 0)</f>
        <v>928.07</v>
      </c>
    </row>
    <row r="21" ht="18.75" customHeight="1">
      <c r="A21" s="15" t="s">
        <v>21</v>
      </c>
      <c r="B21" s="13">
        <f>ROUND(IFERROR(B20 * B12 / 100, 2), 2)</f>
        <v>55.68</v>
      </c>
    </row>
    <row r="22" ht="31.5" customHeight="1">
      <c r="A22" s="16" t="s">
        <v>22</v>
      </c>
      <c r="B22" s="17">
        <f>IFERROR(ROUNDUP(B20 + B21, 2), 0)</f>
        <v>983.75</v>
      </c>
    </row>
    <row r="23" ht="34.5" customHeight="1">
      <c r="A23" s="18" t="s">
        <v>23</v>
      </c>
      <c r="B23" s="19">
        <f>IFERROR(ROUNDUP(B6 + B7, 2), 0)</f>
        <v>4233.3</v>
      </c>
    </row>
    <row r="24">
      <c r="A24" s="20" t="s">
        <v>24</v>
      </c>
    </row>
    <row r="25">
      <c r="A25" s="21" t="s">
        <v>25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2">
    <mergeCell ref="A1:B1"/>
    <mergeCell ref="A24:B24"/>
  </mergeCells>
  <printOptions/>
  <pageMargins bottom="1.0" footer="0.0" header="0.0" left="0.75" right="0.75" top="1.0"/>
  <pageSetup orientation="landscape"/>
  <drawing r:id="rId1"/>
</worksheet>
</file>