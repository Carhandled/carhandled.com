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y Estimator" sheetId="1" r:id="rId4"/>
  </sheets>
  <definedNames/>
  <calcPr/>
</workbook>
</file>

<file path=xl/sharedStrings.xml><?xml version="1.0" encoding="utf-8"?>
<sst xmlns="http://schemas.openxmlformats.org/spreadsheetml/2006/main" count="16" uniqueCount="16">
  <si>
    <r>
      <rPr>
        <rFont val="Montserrat"/>
        <b/>
        <color rgb="FFC6A972"/>
        <sz val="20.0"/>
      </rPr>
      <t xml:space="preserve">CAR PURCHASE MONTHLY ESTIMATOR
</t>
    </r>
    <r>
      <rPr>
        <rFont val="Montserrat"/>
        <b/>
        <i/>
        <color rgb="FFC6A972"/>
        <sz val="20.0"/>
      </rPr>
      <t>Premium</t>
    </r>
  </si>
  <si>
    <t>Category</t>
  </si>
  <si>
    <t>Input # Below</t>
  </si>
  <si>
    <t>Vehicle Price</t>
  </si>
  <si>
    <t>Required 
fields</t>
  </si>
  <si>
    <t>Down Payment</t>
  </si>
  <si>
    <t>Loan Term (months)</t>
  </si>
  <si>
    <t>Interest Rate (%)</t>
  </si>
  <si>
    <t>Sales Tax (%)</t>
  </si>
  <si>
    <t>Fees (Title, DMV, Doc)</t>
  </si>
  <si>
    <t xml:space="preserve">Trade-In Value </t>
  </si>
  <si>
    <t>Optional
fields</t>
  </si>
  <si>
    <t>Remaining Loan Amount</t>
  </si>
  <si>
    <t>Estimated Monthly Payment</t>
  </si>
  <si>
    <t>⚠️ Disclaimer *** All estimates are based on user inputs and do not constitute financial advice. Actual tax rates, incentives, or credits may vary by state and individual circumstances. Always consult your financial advisor or tax professional for personalized guidance.</t>
  </si>
  <si>
    <t>© 2025 CarHandled. For personal client use only. Not for redistribution.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</si>
</sst>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5">
    <font>
      <sz val="11.0"/>
      <color theme="1"/>
      <name val="Calibri"/>
      <scheme val="minor"/>
    </font>
    <font>
      <b/>
      <sz val="20.0"/>
      <color rgb="FFC6A972"/>
      <name val="Montserrat"/>
    </font>
    <font/>
    <font>
      <b/>
      <sz val="17.0"/>
      <color rgb="FF434343"/>
      <name val="Montserrat"/>
    </font>
    <font>
      <sz val="14.0"/>
      <color rgb="FF434343"/>
      <name val="Montserrat"/>
    </font>
    <font>
      <b/>
      <sz val="14.0"/>
      <color rgb="FFC6A972"/>
      <name val="Montserrat"/>
    </font>
    <font>
      <b/>
      <i/>
      <sz val="12.0"/>
      <color rgb="FFC6A972"/>
      <name val="Montserrat"/>
    </font>
    <font>
      <b/>
      <sz val="14.0"/>
      <color rgb="FF434343"/>
      <name val="Montserrat"/>
    </font>
    <font>
      <b/>
      <i/>
      <sz val="12.0"/>
      <color rgb="FF434343"/>
      <name val="Montserrat"/>
    </font>
    <font>
      <b/>
      <sz val="14.0"/>
      <color rgb="FF000000"/>
      <name val="Montserrat"/>
    </font>
    <font>
      <i/>
      <sz val="14.0"/>
      <color rgb="FF666666"/>
      <name val="Montserrat"/>
    </font>
    <font>
      <sz val="14.0"/>
      <color theme="1"/>
      <name val="Montserrat"/>
    </font>
    <font>
      <i/>
      <sz val="9.0"/>
      <color theme="1"/>
      <name val="Montserrat"/>
    </font>
    <font>
      <i/>
      <color theme="1"/>
      <name val="Montserrat"/>
    </font>
    <font>
      <color theme="1"/>
      <name val="Calibri"/>
      <scheme val="minor"/>
    </font>
  </fonts>
  <fills count="6">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D9D9D9"/>
        <bgColor rgb="FFD9D9D9"/>
      </patternFill>
    </fill>
    <fill>
      <patternFill patternType="solid">
        <fgColor rgb="FFC6A972"/>
        <bgColor rgb="FFC6A972"/>
      </patternFill>
    </fill>
  </fills>
  <borders count="18">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thin">
        <color rgb="FF000000"/>
      </left>
    </border>
    <border>
      <right style="medium">
        <color rgb="FF000000"/>
      </right>
    </border>
    <border>
      <left style="thin">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4" fillId="3" fontId="3" numFmtId="0" xfId="0" applyAlignment="1" applyBorder="1" applyFill="1" applyFont="1">
      <alignment horizontal="center" readingOrder="0" shrinkToFit="0" vertical="center" wrapText="1"/>
    </xf>
    <xf borderId="5" fillId="3" fontId="3" numFmtId="0" xfId="0" applyAlignment="1" applyBorder="1" applyFont="1">
      <alignment horizontal="center" readingOrder="0" shrinkToFit="0" vertical="center" wrapText="1"/>
    </xf>
    <xf borderId="6" fillId="4" fontId="4" numFmtId="0" xfId="0" applyAlignment="1" applyBorder="1" applyFill="1" applyFont="1">
      <alignment horizontal="center" shrinkToFit="0" wrapText="1"/>
    </xf>
    <xf borderId="7" fillId="0" fontId="2" numFmtId="0" xfId="0" applyBorder="1" applyFont="1"/>
    <xf borderId="4" fillId="3" fontId="5" numFmtId="0" xfId="0" applyAlignment="1" applyBorder="1" applyFont="1">
      <alignment horizontal="center" shrinkToFit="0" vertical="center" wrapText="1"/>
    </xf>
    <xf borderId="5" fillId="3" fontId="5" numFmtId="0" xfId="0" applyAlignment="1" applyBorder="1" applyFont="1">
      <alignment horizontal="center" readingOrder="0" shrinkToFit="0" vertical="center" wrapText="1"/>
    </xf>
    <xf borderId="8" fillId="4" fontId="6" numFmtId="0" xfId="0" applyAlignment="1" applyBorder="1" applyFont="1">
      <alignment horizontal="center" readingOrder="0" shrinkToFit="0" vertical="center"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4" fillId="3" fontId="7" numFmtId="0" xfId="0" applyAlignment="1" applyBorder="1" applyFont="1">
      <alignment horizontal="center" readingOrder="0" shrinkToFit="0" vertical="center" wrapText="1"/>
    </xf>
    <xf borderId="5" fillId="3" fontId="7" numFmtId="0" xfId="0" applyAlignment="1" applyBorder="1" applyFont="1">
      <alignment horizontal="center" readingOrder="0" shrinkToFit="0" vertical="center" wrapText="1"/>
    </xf>
    <xf borderId="8" fillId="4" fontId="8" numFmtId="0" xfId="0" applyAlignment="1" applyBorder="1" applyFont="1">
      <alignment horizontal="center" readingOrder="0" shrinkToFit="0" vertical="center" wrapText="1"/>
    </xf>
    <xf borderId="14" fillId="5" fontId="9" numFmtId="0" xfId="0" applyAlignment="1" applyBorder="1" applyFill="1" applyFont="1">
      <alignment horizontal="center" shrinkToFit="0" vertical="center" wrapText="1"/>
    </xf>
    <xf borderId="15" fillId="5" fontId="9" numFmtId="164" xfId="0" applyAlignment="1" applyBorder="1" applyFont="1" applyNumberFormat="1">
      <alignment horizontal="center" shrinkToFit="0" vertical="center" wrapText="1"/>
    </xf>
    <xf borderId="16" fillId="5" fontId="10" numFmtId="0" xfId="0" applyAlignment="1" applyBorder="1" applyFont="1">
      <alignment horizontal="center" shrinkToFit="0" vertical="center" wrapText="1"/>
    </xf>
    <xf borderId="17" fillId="0" fontId="2" numFmtId="0" xfId="0" applyBorder="1" applyFont="1"/>
    <xf borderId="0" fillId="3" fontId="11" numFmtId="0" xfId="0" applyFont="1"/>
    <xf borderId="0" fillId="3" fontId="12" numFmtId="0" xfId="0" applyAlignment="1" applyFont="1">
      <alignment readingOrder="0" shrinkToFit="0" wrapText="1"/>
    </xf>
    <xf borderId="0" fillId="0" fontId="13" numFmtId="0" xfId="0" applyFont="1"/>
    <xf borderId="0" fillId="3"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2581275</xdr:colOff>
      <xdr:row>0</xdr:row>
      <xdr:rowOff>123825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46.71"/>
    <col customWidth="1" min="2" max="2" width="38.86"/>
    <col customWidth="1" min="3" max="3" width="8.71"/>
    <col customWidth="1" min="4" max="4" width="7.86"/>
  </cols>
  <sheetData>
    <row r="1" ht="97.5" customHeight="1">
      <c r="A1" s="1" t="s">
        <v>0</v>
      </c>
      <c r="B1" s="2"/>
      <c r="C1" s="3"/>
      <c r="D1" s="4"/>
    </row>
    <row r="2" ht="45.75" customHeight="1">
      <c r="A2" s="5" t="s">
        <v>1</v>
      </c>
      <c r="B2" s="6" t="s">
        <v>2</v>
      </c>
      <c r="C2" s="7"/>
      <c r="D2" s="8"/>
    </row>
    <row r="3" ht="26.25" customHeight="1">
      <c r="A3" s="9" t="s">
        <v>3</v>
      </c>
      <c r="B3" s="10">
        <v>35000.0</v>
      </c>
      <c r="C3" s="11" t="s">
        <v>4</v>
      </c>
      <c r="D3" s="12"/>
    </row>
    <row r="4" ht="27.0" customHeight="1">
      <c r="A4" s="9" t="s">
        <v>5</v>
      </c>
      <c r="B4" s="10">
        <v>5000.0</v>
      </c>
      <c r="C4" s="13"/>
      <c r="D4" s="14"/>
    </row>
    <row r="5" ht="26.25" customHeight="1">
      <c r="A5" s="9" t="s">
        <v>6</v>
      </c>
      <c r="B5" s="10">
        <v>60.0</v>
      </c>
      <c r="C5" s="13"/>
      <c r="D5" s="14"/>
    </row>
    <row r="6" ht="27.75" customHeight="1">
      <c r="A6" s="9" t="s">
        <v>7</v>
      </c>
      <c r="B6" s="10">
        <v>7.0</v>
      </c>
      <c r="C6" s="13"/>
      <c r="D6" s="14"/>
    </row>
    <row r="7" ht="25.5" customHeight="1">
      <c r="A7" s="9" t="s">
        <v>8</v>
      </c>
      <c r="B7" s="10">
        <v>6.0</v>
      </c>
      <c r="C7" s="13"/>
      <c r="D7" s="14"/>
    </row>
    <row r="8" ht="24.0" customHeight="1">
      <c r="A8" s="9" t="s">
        <v>9</v>
      </c>
      <c r="B8" s="10">
        <v>500.0</v>
      </c>
      <c r="C8" s="15"/>
      <c r="D8" s="16"/>
    </row>
    <row r="9" ht="22.5" customHeight="1">
      <c r="A9" s="17" t="s">
        <v>10</v>
      </c>
      <c r="B9" s="18"/>
      <c r="C9" s="19" t="s">
        <v>11</v>
      </c>
      <c r="D9" s="12"/>
    </row>
    <row r="10" ht="24.75" customHeight="1">
      <c r="A10" s="17" t="s">
        <v>12</v>
      </c>
      <c r="B10" s="18"/>
      <c r="C10" s="15"/>
      <c r="D10" s="16"/>
    </row>
    <row r="11" ht="59.25" customHeight="1">
      <c r="A11" s="20" t="s">
        <v>13</v>
      </c>
      <c r="B11" s="21">
        <f>ROUND(PMT((B6/100)/12, B5, -((B3 + B7 + (B3 * B6 / 100) - B4 - IF(B9="", 0, B9) + IF(B10="", 0, B10)))), 2)
</f>
        <v>642.67</v>
      </c>
      <c r="C11" s="22"/>
      <c r="D11" s="23"/>
    </row>
    <row r="12" ht="1.5" customHeight="1">
      <c r="A12" s="24"/>
      <c r="B12" s="24"/>
      <c r="C12" s="24"/>
      <c r="D12" s="24"/>
    </row>
    <row r="13">
      <c r="A13" s="25" t="s">
        <v>14</v>
      </c>
    </row>
    <row r="14">
      <c r="A14" s="26" t="s">
        <v>15</v>
      </c>
      <c r="B14" s="27"/>
      <c r="C14" s="27"/>
      <c r="D14" s="27"/>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mergeCells count="6">
    <mergeCell ref="A1:B1"/>
    <mergeCell ref="C2:D2"/>
    <mergeCell ref="C3:D8"/>
    <mergeCell ref="C9:D10"/>
    <mergeCell ref="C11:D11"/>
    <mergeCell ref="A13:D13"/>
  </mergeCells>
  <printOptions/>
  <pageMargins bottom="0.75" footer="0.0" header="0.0" left="0.7" right="0.7" top="0.75"/>
  <pageSetup orientation="landscape"/>
  <drawing r:id="rId1"/>
</worksheet>
</file>